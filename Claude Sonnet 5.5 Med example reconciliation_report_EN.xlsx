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One_to_One" sheetId="2" state="visible" r:id="rId4"/>
    <sheet name="Many_to_One" sheetId="3" state="visible" r:id="rId5"/>
    <sheet name="Many_to_One_Detail" sheetId="4" state="visible" r:id="rId6"/>
    <sheet name="Unrec_Purchases" sheetId="5" state="visible" r:id="rId7"/>
    <sheet name="Unrec_Bank" sheetId="6" state="visible" r:id="rId8"/>
    <sheet name="Review" sheetId="7" state="visible" r:id="rId9"/>
    <sheet name="Assumption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<sst xmlns="http://schemas.openxmlformats.org/spreadsheetml/2006/main" count="212" uniqueCount="156">
  <si>
    <t xml:space="preserve">Reconciliation Report: Purchases vs. Bank Statement</t>
  </si>
  <si>
    <t xml:space="preserve">Currency: UYU  |  Statement cut-off: 2026-08-20  |  Tolerance: 1.00  |  Window: 30 days</t>
  </si>
  <si>
    <t xml:space="preserve">PURCHASES (accounting system)</t>
  </si>
  <si>
    <t xml:space="preserve">Records</t>
  </si>
  <si>
    <t xml:space="preserve">Amount (UYU)</t>
  </si>
  <si>
    <t xml:space="preserve">Reconciled one-to-one</t>
  </si>
  <si>
    <t xml:space="preserve">Reconciled many-to-one (invoices)</t>
  </si>
  <si>
    <t xml:space="preserve">Total reconciled</t>
  </si>
  <si>
    <t xml:space="preserve">Unreconciled (pending payment)</t>
  </si>
  <si>
    <t xml:space="preserve">Total purchases</t>
  </si>
  <si>
    <t xml:space="preserve">% reconciled (by records / by amount)</t>
  </si>
  <si>
    <t xml:space="preserve">BANK STATEMENT</t>
  </si>
  <si>
    <t xml:space="preserve">Payments matched, one-to-one</t>
  </si>
  <si>
    <t xml:space="preserve">Payments matched, many-to-one</t>
  </si>
  <si>
    <t xml:space="preserve">Total payments matched</t>
  </si>
  <si>
    <t xml:space="preserve">Unreconciled outflows</t>
  </si>
  <si>
    <t xml:space="preserve">Total outflows</t>
  </si>
  <si>
    <t xml:space="preserve">Unreconciled inflows</t>
  </si>
  <si>
    <t xml:space="preserve">Total transactions / net movement (inflows - outflows)</t>
  </si>
  <si>
    <t xml:space="preserve">% of outflows reconciled (by records / by amount)</t>
  </si>
  <si>
    <t xml:space="preserve">CONTROL CHECK</t>
  </si>
  <si>
    <t xml:space="preserve">Reconciled purchases - matched payments (must be 0)</t>
  </si>
  <si>
    <t xml:space="preserve">Purchase_ID</t>
  </si>
  <si>
    <t xml:space="preserve">Transaction_ID</t>
  </si>
  <si>
    <t xml:space="preserve">Supplier</t>
  </si>
  <si>
    <t xml:space="preserve">Purchase_Amount</t>
  </si>
  <si>
    <t xml:space="preserve">Bank_Amount_Paid</t>
  </si>
  <si>
    <t xml:space="preserve">Difference</t>
  </si>
  <si>
    <t xml:space="preserve">Purchase_Date</t>
  </si>
  <si>
    <t xml:space="preserve">Payment_Date</t>
  </si>
  <si>
    <t xml:space="preserve">Days_to_Pay</t>
  </si>
  <si>
    <t xml:space="preserve">P014</t>
  </si>
  <si>
    <t xml:space="preserve">T003</t>
  </si>
  <si>
    <t xml:space="preserve">Supplier B</t>
  </si>
  <si>
    <t xml:space="preserve">P005</t>
  </si>
  <si>
    <t xml:space="preserve">T005</t>
  </si>
  <si>
    <t xml:space="preserve">Supplier D</t>
  </si>
  <si>
    <t xml:space="preserve">P018</t>
  </si>
  <si>
    <t xml:space="preserve">T006</t>
  </si>
  <si>
    <t xml:space="preserve">P007</t>
  </si>
  <si>
    <t xml:space="preserve">T007</t>
  </si>
  <si>
    <t xml:space="preserve">Supplier E</t>
  </si>
  <si>
    <t xml:space="preserve">P009</t>
  </si>
  <si>
    <t xml:space="preserve">T008</t>
  </si>
  <si>
    <t xml:space="preserve">Supplier F</t>
  </si>
  <si>
    <t xml:space="preserve">P011</t>
  </si>
  <si>
    <t xml:space="preserve">T009</t>
  </si>
  <si>
    <t xml:space="preserve">Supplier G</t>
  </si>
  <si>
    <t xml:space="preserve">P013</t>
  </si>
  <si>
    <t xml:space="preserve">T010</t>
  </si>
  <si>
    <t xml:space="preserve">Supplier H</t>
  </si>
  <si>
    <t xml:space="preserve">P015</t>
  </si>
  <si>
    <t xml:space="preserve">T011</t>
  </si>
  <si>
    <t xml:space="preserve">Supplier I</t>
  </si>
  <si>
    <t xml:space="preserve">P017</t>
  </si>
  <si>
    <t xml:space="preserve">T012</t>
  </si>
  <si>
    <t xml:space="preserve">Supplier J</t>
  </si>
  <si>
    <t xml:space="preserve">Purchase_IDs</t>
  </si>
  <si>
    <t xml:space="preserve">Invoices</t>
  </si>
  <si>
    <t xml:space="preserve">Purchases_Amount_Sum</t>
  </si>
  <si>
    <t xml:space="preserve">T001</t>
  </si>
  <si>
    <t xml:space="preserve">P001, P003, P006, P012</t>
  </si>
  <si>
    <t xml:space="preserve">Supplier A</t>
  </si>
  <si>
    <t xml:space="preserve">T002</t>
  </si>
  <si>
    <t xml:space="preserve">P002, P010</t>
  </si>
  <si>
    <t xml:space="preserve">T004</t>
  </si>
  <si>
    <t xml:space="preserve">P004, P008, P016</t>
  </si>
  <si>
    <t xml:space="preserve">Supplier C</t>
  </si>
  <si>
    <t xml:space="preserve">Invoice_No</t>
  </si>
  <si>
    <t xml:space="preserve">Amount</t>
  </si>
  <si>
    <t xml:space="preserve">P001</t>
  </si>
  <si>
    <t xml:space="preserve">FA-1001</t>
  </si>
  <si>
    <t xml:space="preserve">P003</t>
  </si>
  <si>
    <t xml:space="preserve">FA-1002</t>
  </si>
  <si>
    <t xml:space="preserve">P006</t>
  </si>
  <si>
    <t xml:space="preserve">FA-1003</t>
  </si>
  <si>
    <t xml:space="preserve">P012</t>
  </si>
  <si>
    <t xml:space="preserve">FA-1004</t>
  </si>
  <si>
    <t xml:space="preserve">P002</t>
  </si>
  <si>
    <t xml:space="preserve">FB-2001</t>
  </si>
  <si>
    <t xml:space="preserve">P010</t>
  </si>
  <si>
    <t xml:space="preserve">FB-2002</t>
  </si>
  <si>
    <t xml:space="preserve">P004</t>
  </si>
  <si>
    <t xml:space="preserve">FC-3001</t>
  </si>
  <si>
    <t xml:space="preserve">P008</t>
  </si>
  <si>
    <t xml:space="preserve">FC-3002</t>
  </si>
  <si>
    <t xml:space="preserve">P016</t>
  </si>
  <si>
    <t xml:space="preserve">FC-3003</t>
  </si>
  <si>
    <t xml:space="preserve">Date</t>
  </si>
  <si>
    <t xml:space="preserve">Days_Outstanding</t>
  </si>
  <si>
    <t xml:space="preserve">Comment</t>
  </si>
  <si>
    <t xml:space="preserve">P019</t>
  </si>
  <si>
    <t xml:space="preserve">Supplier K</t>
  </si>
  <si>
    <t xml:space="preserve">FK-1201</t>
  </si>
  <si>
    <t xml:space="preserve">No payment to this supplier found in the statement; check due date and payment terms.</t>
  </si>
  <si>
    <t xml:space="preserve">P020</t>
  </si>
  <si>
    <t xml:space="preserve">FE-5002</t>
  </si>
  <si>
    <t xml:space="preserve">Supplier has other invoices paid in this statement; check payment terms for this one.</t>
  </si>
  <si>
    <t xml:space="preserve">Description</t>
  </si>
  <si>
    <t xml:space="preserve">Reference_No</t>
  </si>
  <si>
    <t xml:space="preserve">Likely_Nature</t>
  </si>
  <si>
    <t xml:space="preserve">T013</t>
  </si>
  <si>
    <t xml:space="preserve">Account maintenance fee</t>
  </si>
  <si>
    <t xml:space="preserve">CM-00912</t>
  </si>
  <si>
    <t xml:space="preserve">Bank fee</t>
  </si>
  <si>
    <t xml:space="preserve">T014</t>
  </si>
  <si>
    <t xml:space="preserve">Incoming transfer - Customer XYZ</t>
  </si>
  <si>
    <t xml:space="preserve">TR-77102</t>
  </si>
  <si>
    <t xml:space="preserve">Customer receipt (inflow, not a purchase)</t>
  </si>
  <si>
    <t xml:space="preserve">T015</t>
  </si>
  <si>
    <t xml:space="preserve">Direct debit - Insurance</t>
  </si>
  <si>
    <t xml:space="preserve">DA-33110</t>
  </si>
  <si>
    <t xml:space="preserve">Direct debit (non-purchase)</t>
  </si>
  <si>
    <t xml:space="preserve">Priority</t>
  </si>
  <si>
    <t xml:space="preserve">Type</t>
  </si>
  <si>
    <t xml:space="preserve">Related_Purchases</t>
  </si>
  <si>
    <t xml:space="preserve">Issue</t>
  </si>
  <si>
    <t xml:space="preserve">Suggested_Follow_up</t>
  </si>
  <si>
    <t xml:space="preserve">Medium</t>
  </si>
  <si>
    <t xml:space="preserve">Near-miss (not matched)</t>
  </si>
  <si>
    <t xml:space="preserve">P019 (Supplier K, 25,000.00) has the same amount as T004, but that transfer is to Supplier C and already reconciles to that supplier's invoices.</t>
  </si>
  <si>
    <t xml:space="preserve">Do not match. Confirm payment status of the invoice with Treasury.</t>
  </si>
  <si>
    <t xml:space="preserve">Low</t>
  </si>
  <si>
    <t xml:space="preserve">Inferred match (verify)</t>
  </si>
  <si>
    <t xml:space="preserve">T001 reconciles only by the sum of 4 invoices from Supplier A; the bank reference does not list the invoice numbers.</t>
  </si>
  <si>
    <t xml:space="preserve">Verify against the supplier's remittance advice or payment proposal.</t>
  </si>
  <si>
    <t xml:space="preserve">T002 reconciles only by the sum of 2 invoices from Supplier B; the bank reference does not list the invoice numbers.</t>
  </si>
  <si>
    <t xml:space="preserve">T004 reconciles only by the sum of 3 invoices from Supplier C; the bank reference does not list the invoice numbers.</t>
  </si>
  <si>
    <t xml:space="preserve">No ambiguous matches were found. The items below are a near-miss and matches inferred from sums.</t>
  </si>
  <si>
    <t xml:space="preserve">Parameter</t>
  </si>
  <si>
    <t xml:space="preserve">Value</t>
  </si>
  <si>
    <t xml:space="preserve">Note</t>
  </si>
  <si>
    <t xml:space="preserve">Currency</t>
  </si>
  <si>
    <t xml:space="preserve">UYU</t>
  </si>
  <si>
    <t xml:space="preserve">All amounts are in a single currency; no FX applied.</t>
  </si>
  <si>
    <t xml:space="preserve">Amount tolerance</t>
  </si>
  <si>
    <t xml:space="preserve">A match requires |purchase amount - bank amount| &lt;= tolerance.</t>
  </si>
  <si>
    <t xml:space="preserve">Payment window (days)</t>
  </si>
  <si>
    <t xml:space="preserve">Bank date must be 0 to 30 days after the purchase date.</t>
  </si>
  <si>
    <t xml:space="preserve">Statement cut-off (as-of date)</t>
  </si>
  <si>
    <t xml:space="preserve">Latest transaction date in the statement; used for days outstanding.</t>
  </si>
  <si>
    <t xml:space="preserve">Supplier identification</t>
  </si>
  <si>
    <t xml:space="preserve">Bank description</t>
  </si>
  <si>
    <t xml:space="preserve">Supplier name is parsed from the description (e.g. 'Outgoing transfer - Supplier A').</t>
  </si>
  <si>
    <t xml:space="preserve">Many-to-one scope</t>
  </si>
  <si>
    <t xml:space="preserve">Same supplier only</t>
  </si>
  <si>
    <t xml:space="preserve">Combinations of 2+ invoices from one supplier; cross-supplier grouping not attempted.</t>
  </si>
  <si>
    <t xml:space="preserve">Matching order</t>
  </si>
  <si>
    <t xml:space="preserve">1-to-1, then many-to-one</t>
  </si>
  <si>
    <t xml:space="preserve">Many-to-one is attempted only on invoices left after the one-to-one pass.</t>
  </si>
  <si>
    <t xml:space="preserve">Ambiguity rule</t>
  </si>
  <si>
    <t xml:space="preserve">Unique solution required</t>
  </si>
  <si>
    <t xml:space="preserve">If several candidates fit, the case goes to Review instead of being auto-matched.</t>
  </si>
  <si>
    <t xml:space="preserve">Bank items considered as payments</t>
  </si>
  <si>
    <t xml:space="preserve">Outflows only</t>
  </si>
  <si>
    <t xml:space="preserve">Inflows and non-purchase debits are listed as unreconciled, never forced into a match.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</si>
</sst>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#,##0.00;\(#,##0.00\);\-"/>
    <numFmt numFmtId="167" formatCode="0.0%"/>
    <numFmt numFmtId="168" formatCode="yyyy\-mm\-dd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D9D9D9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</row>
    <row r="5" customFormat="false" ht="15" hidden="false" customHeight="false" outlineLevel="0" collapsed="false">
      <c r="A5" s="5" t="s">
        <v>5</v>
      </c>
      <c r="B5" s="6" t="n">
        <f aca="false">COUNTA(One_to_One!A2:A10)</f>
        <v>9</v>
      </c>
      <c r="C5" s="7" t="n">
        <f aca="false">SUM(One_to_One!D2:D10)</f>
        <v>227500</v>
      </c>
    </row>
    <row r="6" customFormat="false" ht="15" hidden="false" customHeight="false" outlineLevel="0" collapsed="false">
      <c r="A6" s="5" t="s">
        <v>6</v>
      </c>
      <c r="B6" s="6" t="n">
        <f aca="false">COUNTA(Many_to_One_Detail!B2:B10)</f>
        <v>9</v>
      </c>
      <c r="C6" s="7" t="n">
        <f aca="false">SUM(Many_to_One_Detail!F2:F10)</f>
        <v>166500</v>
      </c>
    </row>
    <row r="7" customFormat="false" ht="15" hidden="false" customHeight="false" outlineLevel="0" collapsed="false">
      <c r="A7" s="8" t="s">
        <v>7</v>
      </c>
      <c r="B7" s="9" t="n">
        <f aca="false">B5+B6</f>
        <v>18</v>
      </c>
      <c r="C7" s="10" t="n">
        <f aca="false">C5+C6</f>
        <v>394000</v>
      </c>
    </row>
    <row r="8" customFormat="false" ht="15" hidden="false" customHeight="false" outlineLevel="0" collapsed="false">
      <c r="A8" s="5" t="s">
        <v>8</v>
      </c>
      <c r="B8" s="6" t="n">
        <f aca="false">COUNTA(Unrec_Purchases!A2:A3)</f>
        <v>2</v>
      </c>
      <c r="C8" s="7" t="n">
        <f aca="false">SUM(Unrec_Purchases!E2:E3)</f>
        <v>38750</v>
      </c>
    </row>
    <row r="9" customFormat="false" ht="15" hidden="false" customHeight="false" outlineLevel="0" collapsed="false">
      <c r="A9" s="8" t="s">
        <v>9</v>
      </c>
      <c r="B9" s="9" t="n">
        <f aca="false">B7+B8</f>
        <v>20</v>
      </c>
      <c r="C9" s="10" t="n">
        <f aca="false">C7+C8</f>
        <v>432750</v>
      </c>
    </row>
    <row r="10" customFormat="false" ht="15" hidden="false" customHeight="false" outlineLevel="0" collapsed="false">
      <c r="A10" s="5" t="s">
        <v>10</v>
      </c>
      <c r="B10" s="11" t="n">
        <f aca="false">B7/B9</f>
        <v>0.9</v>
      </c>
      <c r="C10" s="11" t="n">
        <f aca="false">C7/C9</f>
        <v>0.910456383593299</v>
      </c>
    </row>
    <row r="12" customFormat="false" ht="15" hidden="false" customHeight="false" outlineLevel="0" collapsed="false">
      <c r="A12" s="3" t="s">
        <v>11</v>
      </c>
      <c r="B12" s="4" t="s">
        <v>3</v>
      </c>
      <c r="C12" s="4" t="s">
        <v>4</v>
      </c>
    </row>
    <row r="13" customFormat="false" ht="15" hidden="false" customHeight="false" outlineLevel="0" collapsed="false">
      <c r="A13" s="5" t="s">
        <v>12</v>
      </c>
      <c r="B13" s="6" t="n">
        <f aca="false">COUNTA(One_to_One!B2:B10)</f>
        <v>9</v>
      </c>
      <c r="C13" s="7" t="n">
        <f aca="false">SUM(One_to_One!E2:E10)</f>
        <v>227500</v>
      </c>
    </row>
    <row r="14" customFormat="false" ht="15" hidden="false" customHeight="false" outlineLevel="0" collapsed="false">
      <c r="A14" s="5" t="s">
        <v>13</v>
      </c>
      <c r="B14" s="6" t="n">
        <f aca="false">COUNTA(Many_to_One!A2:A4)</f>
        <v>3</v>
      </c>
      <c r="C14" s="7" t="n">
        <f aca="false">SUM(Many_to_One!F2:F4)</f>
        <v>166500</v>
      </c>
    </row>
    <row r="15" customFormat="false" ht="15" hidden="false" customHeight="false" outlineLevel="0" collapsed="false">
      <c r="A15" s="8" t="s">
        <v>14</v>
      </c>
      <c r="B15" s="9" t="n">
        <f aca="false">B13+B14</f>
        <v>12</v>
      </c>
      <c r="C15" s="10" t="n">
        <f aca="false">C13+C14</f>
        <v>394000</v>
      </c>
    </row>
    <row r="16" customFormat="false" ht="15" hidden="false" customHeight="false" outlineLevel="0" collapsed="false">
      <c r="A16" s="5" t="s">
        <v>15</v>
      </c>
      <c r="B16" s="6" t="n">
        <f aca="false">COUNTIF(Unrec_Bank!E2:E4,"&lt;0")</f>
        <v>2</v>
      </c>
      <c r="C16" s="7" t="n">
        <f aca="false">-SUMIF(Unrec_Bank!E2:E4,"&lt;0")</f>
        <v>3650</v>
      </c>
    </row>
    <row r="17" customFormat="false" ht="15" hidden="false" customHeight="false" outlineLevel="0" collapsed="false">
      <c r="A17" s="8" t="s">
        <v>16</v>
      </c>
      <c r="B17" s="9" t="n">
        <f aca="false">B15+B16</f>
        <v>14</v>
      </c>
      <c r="C17" s="10" t="n">
        <f aca="false">C15+C16</f>
        <v>397650</v>
      </c>
    </row>
    <row r="18" customFormat="false" ht="15" hidden="false" customHeight="false" outlineLevel="0" collapsed="false">
      <c r="A18" s="5" t="s">
        <v>17</v>
      </c>
      <c r="B18" s="6" t="n">
        <f aca="false">COUNTIF(Unrec_Bank!E2:E4,"&gt;0")</f>
        <v>1</v>
      </c>
      <c r="C18" s="7" t="n">
        <f aca="false">SUMIF(Unrec_Bank!E2:E4,"&gt;0")</f>
        <v>150000</v>
      </c>
    </row>
    <row r="19" customFormat="false" ht="15" hidden="false" customHeight="false" outlineLevel="0" collapsed="false">
      <c r="A19" s="8" t="s">
        <v>18</v>
      </c>
      <c r="B19" s="9" t="n">
        <f aca="false">B17+B18</f>
        <v>15</v>
      </c>
      <c r="C19" s="10" t="n">
        <f aca="false">C18-C17</f>
        <v>-247650</v>
      </c>
    </row>
    <row r="20" customFormat="false" ht="15" hidden="false" customHeight="false" outlineLevel="0" collapsed="false">
      <c r="A20" s="5" t="s">
        <v>19</v>
      </c>
      <c r="B20" s="11" t="n">
        <f aca="false">B15/B17</f>
        <v>0.857142857142857</v>
      </c>
      <c r="C20" s="11" t="n">
        <f aca="false">C15/C17</f>
        <v>0.990821073808626</v>
      </c>
    </row>
    <row r="22" customFormat="false" ht="15" hidden="false" customHeight="false" outlineLevel="0" collapsed="false">
      <c r="A22" s="3" t="s">
        <v>20</v>
      </c>
      <c r="B22" s="4" t="s">
        <v>3</v>
      </c>
      <c r="C22" s="4" t="s">
        <v>4</v>
      </c>
    </row>
    <row r="23" customFormat="false" ht="15" hidden="false" customHeight="false" outlineLevel="0" collapsed="false">
      <c r="A23" s="5" t="s">
        <v>21</v>
      </c>
      <c r="B23" s="5"/>
      <c r="C23" s="12" t="n">
        <f aca="false">C7-C15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5" min="4" style="0" width="17"/>
    <col collapsed="false" customWidth="true" hidden="false" outlineLevel="0" max="6" min="6" style="0" width="13"/>
    <col collapsed="false" customWidth="true" hidden="false" outlineLevel="0" max="8" min="7" style="0" width="14"/>
    <col collapsed="false" customWidth="true" hidden="false" outlineLevel="0" max="9" min="9" style="0" width="12"/>
  </cols>
  <sheetData>
    <row r="1" customFormat="false" ht="26.85" hidden="false" customHeight="false" outlineLevel="0" collapsed="false">
      <c r="A1" s="13" t="s">
        <v>22</v>
      </c>
      <c r="B1" s="13" t="s">
        <v>23</v>
      </c>
      <c r="C1" s="13" t="s">
        <v>24</v>
      </c>
      <c r="D1" s="13" t="s">
        <v>25</v>
      </c>
      <c r="E1" s="13" t="s">
        <v>26</v>
      </c>
      <c r="F1" s="13" t="s">
        <v>27</v>
      </c>
      <c r="G1" s="13" t="s">
        <v>28</v>
      </c>
      <c r="H1" s="13" t="s">
        <v>29</v>
      </c>
      <c r="I1" s="13" t="s">
        <v>30</v>
      </c>
    </row>
    <row r="2" customFormat="false" ht="15" hidden="false" customHeight="false" outlineLevel="0" collapsed="false">
      <c r="A2" s="5" t="s">
        <v>31</v>
      </c>
      <c r="B2" s="5" t="s">
        <v>32</v>
      </c>
      <c r="C2" s="5" t="s">
        <v>33</v>
      </c>
      <c r="D2" s="12" t="n">
        <v>6300</v>
      </c>
      <c r="E2" s="12" t="n">
        <v>6300</v>
      </c>
      <c r="F2" s="12" t="n">
        <f aca="false">E2-D2</f>
        <v>0</v>
      </c>
      <c r="G2" s="14" t="n">
        <v>46243</v>
      </c>
      <c r="H2" s="14" t="n">
        <v>46249</v>
      </c>
      <c r="I2" s="15" t="n">
        <f aca="false">H2-G2</f>
        <v>6</v>
      </c>
    </row>
    <row r="3" customFormat="false" ht="15" hidden="false" customHeight="false" outlineLevel="0" collapsed="false">
      <c r="A3" s="5" t="s">
        <v>34</v>
      </c>
      <c r="B3" s="5" t="s">
        <v>35</v>
      </c>
      <c r="C3" s="5" t="s">
        <v>36</v>
      </c>
      <c r="D3" s="12" t="n">
        <v>22300</v>
      </c>
      <c r="E3" s="12" t="n">
        <v>22300</v>
      </c>
      <c r="F3" s="12" t="n">
        <f aca="false">E3-D3</f>
        <v>0</v>
      </c>
      <c r="G3" s="14" t="n">
        <v>46239</v>
      </c>
      <c r="H3" s="14" t="n">
        <v>46250</v>
      </c>
      <c r="I3" s="15" t="n">
        <f aca="false">H3-G3</f>
        <v>11</v>
      </c>
    </row>
    <row r="4" customFormat="false" ht="15" hidden="false" customHeight="false" outlineLevel="0" collapsed="false">
      <c r="A4" s="5" t="s">
        <v>37</v>
      </c>
      <c r="B4" s="5" t="s">
        <v>38</v>
      </c>
      <c r="C4" s="5" t="s">
        <v>36</v>
      </c>
      <c r="D4" s="12" t="n">
        <v>9400</v>
      </c>
      <c r="E4" s="12" t="n">
        <v>9400</v>
      </c>
      <c r="F4" s="12" t="n">
        <f aca="false">E4-D4</f>
        <v>0</v>
      </c>
      <c r="G4" s="14" t="n">
        <v>46245</v>
      </c>
      <c r="H4" s="14" t="n">
        <v>46251</v>
      </c>
      <c r="I4" s="15" t="n">
        <f aca="false">H4-G4</f>
        <v>6</v>
      </c>
    </row>
    <row r="5" customFormat="false" ht="15" hidden="false" customHeight="false" outlineLevel="0" collapsed="false">
      <c r="A5" s="5" t="s">
        <v>39</v>
      </c>
      <c r="B5" s="5" t="s">
        <v>40</v>
      </c>
      <c r="C5" s="5" t="s">
        <v>41</v>
      </c>
      <c r="D5" s="12" t="n">
        <v>60000</v>
      </c>
      <c r="E5" s="12" t="n">
        <v>60000</v>
      </c>
      <c r="F5" s="12" t="n">
        <f aca="false">E5-D5</f>
        <v>0</v>
      </c>
      <c r="G5" s="14" t="n">
        <v>46240</v>
      </c>
      <c r="H5" s="14" t="n">
        <v>46249</v>
      </c>
      <c r="I5" s="15" t="n">
        <f aca="false">H5-G5</f>
        <v>9</v>
      </c>
    </row>
    <row r="6" customFormat="false" ht="15" hidden="false" customHeight="false" outlineLevel="0" collapsed="false">
      <c r="A6" s="5" t="s">
        <v>42</v>
      </c>
      <c r="B6" s="5" t="s">
        <v>43</v>
      </c>
      <c r="C6" s="5" t="s">
        <v>44</v>
      </c>
      <c r="D6" s="12" t="n">
        <v>9800</v>
      </c>
      <c r="E6" s="12" t="n">
        <v>9800</v>
      </c>
      <c r="F6" s="12" t="n">
        <f aca="false">E6-D6</f>
        <v>0</v>
      </c>
      <c r="G6" s="14" t="n">
        <v>46241</v>
      </c>
      <c r="H6" s="14" t="n">
        <v>46250</v>
      </c>
      <c r="I6" s="15" t="n">
        <f aca="false">H6-G6</f>
        <v>9</v>
      </c>
    </row>
    <row r="7" customFormat="false" ht="15" hidden="false" customHeight="false" outlineLevel="0" collapsed="false">
      <c r="A7" s="5" t="s">
        <v>45</v>
      </c>
      <c r="B7" s="5" t="s">
        <v>46</v>
      </c>
      <c r="C7" s="5" t="s">
        <v>47</v>
      </c>
      <c r="D7" s="12" t="n">
        <v>33400</v>
      </c>
      <c r="E7" s="12" t="n">
        <v>33400</v>
      </c>
      <c r="F7" s="12" t="n">
        <f aca="false">E7-D7</f>
        <v>0</v>
      </c>
      <c r="G7" s="14" t="n">
        <v>46242</v>
      </c>
      <c r="H7" s="14" t="n">
        <v>46252</v>
      </c>
      <c r="I7" s="15" t="n">
        <f aca="false">H7-G7</f>
        <v>10</v>
      </c>
    </row>
    <row r="8" customFormat="false" ht="15" hidden="false" customHeight="false" outlineLevel="0" collapsed="false">
      <c r="A8" s="5" t="s">
        <v>48</v>
      </c>
      <c r="B8" s="5" t="s">
        <v>49</v>
      </c>
      <c r="C8" s="5" t="s">
        <v>50</v>
      </c>
      <c r="D8" s="12" t="n">
        <v>27500</v>
      </c>
      <c r="E8" s="12" t="n">
        <v>27500</v>
      </c>
      <c r="F8" s="12" t="n">
        <f aca="false">E8-D8</f>
        <v>0</v>
      </c>
      <c r="G8" s="14" t="n">
        <v>46243</v>
      </c>
      <c r="H8" s="14" t="n">
        <v>46251</v>
      </c>
      <c r="I8" s="15" t="n">
        <f aca="false">H8-G8</f>
        <v>8</v>
      </c>
    </row>
    <row r="9" customFormat="false" ht="15" hidden="false" customHeight="false" outlineLevel="0" collapsed="false">
      <c r="A9" s="5" t="s">
        <v>51</v>
      </c>
      <c r="B9" s="5" t="s">
        <v>52</v>
      </c>
      <c r="C9" s="5" t="s">
        <v>53</v>
      </c>
      <c r="D9" s="12" t="n">
        <v>41200</v>
      </c>
      <c r="E9" s="12" t="n">
        <v>41200</v>
      </c>
      <c r="F9" s="12" t="n">
        <f aca="false">E9-D9</f>
        <v>0</v>
      </c>
      <c r="G9" s="14" t="n">
        <v>46244</v>
      </c>
      <c r="H9" s="14" t="n">
        <v>46253</v>
      </c>
      <c r="I9" s="15" t="n">
        <f aca="false">H9-G9</f>
        <v>9</v>
      </c>
    </row>
    <row r="10" customFormat="false" ht="15" hidden="false" customHeight="false" outlineLevel="0" collapsed="false">
      <c r="A10" s="5" t="s">
        <v>54</v>
      </c>
      <c r="B10" s="5" t="s">
        <v>55</v>
      </c>
      <c r="C10" s="5" t="s">
        <v>56</v>
      </c>
      <c r="D10" s="12" t="n">
        <v>17600</v>
      </c>
      <c r="E10" s="12" t="n">
        <v>17600</v>
      </c>
      <c r="F10" s="12" t="n">
        <f aca="false">E10-D10</f>
        <v>0</v>
      </c>
      <c r="G10" s="14" t="n">
        <v>46245</v>
      </c>
      <c r="H10" s="14" t="n">
        <v>46252</v>
      </c>
      <c r="I10" s="15" t="n">
        <f aca="false">H10-G10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21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8" min="8" style="0" width="14"/>
  </cols>
  <sheetData>
    <row r="1" customFormat="false" ht="26.85" hidden="false" customHeight="false" outlineLevel="0" collapsed="false">
      <c r="A1" s="13" t="s">
        <v>23</v>
      </c>
      <c r="B1" s="13" t="s">
        <v>57</v>
      </c>
      <c r="C1" s="13" t="s">
        <v>24</v>
      </c>
      <c r="D1" s="13" t="s">
        <v>58</v>
      </c>
      <c r="E1" s="13" t="s">
        <v>59</v>
      </c>
      <c r="F1" s="13" t="s">
        <v>26</v>
      </c>
      <c r="G1" s="13" t="s">
        <v>27</v>
      </c>
      <c r="H1" s="13" t="s">
        <v>29</v>
      </c>
    </row>
    <row r="2" customFormat="false" ht="15" hidden="false" customHeight="false" outlineLevel="0" collapsed="false">
      <c r="A2" s="5" t="s">
        <v>60</v>
      </c>
      <c r="B2" s="5" t="s">
        <v>61</v>
      </c>
      <c r="C2" s="5" t="s">
        <v>62</v>
      </c>
      <c r="D2" s="15" t="n">
        <f aca="false">COUNTIF(Many_to_One_Detail!$A$2:$A$10,A2)</f>
        <v>4</v>
      </c>
      <c r="E2" s="12" t="n">
        <f aca="false">SUMIF(Many_to_One_Detail!$A$2:$A$10,A2,Many_to_One_Detail!$F$2:$F$10)</f>
        <v>102000</v>
      </c>
      <c r="F2" s="12" t="n">
        <v>102000</v>
      </c>
      <c r="G2" s="12" t="n">
        <f aca="false">F2-E2</f>
        <v>0</v>
      </c>
      <c r="H2" s="14" t="n">
        <v>46247</v>
      </c>
    </row>
    <row r="3" customFormat="false" ht="15" hidden="false" customHeight="false" outlineLevel="0" collapsed="false">
      <c r="A3" s="5" t="s">
        <v>63</v>
      </c>
      <c r="B3" s="5" t="s">
        <v>64</v>
      </c>
      <c r="C3" s="5" t="s">
        <v>33</v>
      </c>
      <c r="D3" s="15" t="n">
        <f aca="false">COUNTIF(Many_to_One_Detail!$A$2:$A$10,A3)</f>
        <v>2</v>
      </c>
      <c r="E3" s="12" t="n">
        <f aca="false">SUMIF(Many_to_One_Detail!$A$2:$A$10,A3,Many_to_One_Detail!$F$2:$F$10)</f>
        <v>39500</v>
      </c>
      <c r="F3" s="12" t="n">
        <v>39500</v>
      </c>
      <c r="G3" s="12" t="n">
        <f aca="false">F3-E3</f>
        <v>0</v>
      </c>
      <c r="H3" s="14" t="n">
        <v>46248</v>
      </c>
    </row>
    <row r="4" customFormat="false" ht="15" hidden="false" customHeight="false" outlineLevel="0" collapsed="false">
      <c r="A4" s="5" t="s">
        <v>65</v>
      </c>
      <c r="B4" s="5" t="s">
        <v>66</v>
      </c>
      <c r="C4" s="5" t="s">
        <v>67</v>
      </c>
      <c r="D4" s="15" t="n">
        <f aca="false">COUNTIF(Many_to_One_Detail!$A$2:$A$10,A4)</f>
        <v>3</v>
      </c>
      <c r="E4" s="12" t="n">
        <f aca="false">SUMIF(Many_to_One_Detail!$A$2:$A$10,A4,Many_to_One_Detail!$F$2:$F$10)</f>
        <v>25000</v>
      </c>
      <c r="F4" s="12" t="n">
        <v>25000</v>
      </c>
      <c r="G4" s="12" t="n">
        <f aca="false">F4-E4</f>
        <v>0</v>
      </c>
      <c r="H4" s="14" t="n">
        <v>46248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5" min="3" style="0" width="14"/>
    <col collapsed="false" customWidth="true" hidden="false" outlineLevel="0" max="6" min="6" style="0" width="15"/>
  </cols>
  <sheetData>
    <row r="1" customFormat="false" ht="26.85" hidden="false" customHeight="false" outlineLevel="0" collapsed="false">
      <c r="A1" s="13" t="s">
        <v>23</v>
      </c>
      <c r="B1" s="13" t="s">
        <v>22</v>
      </c>
      <c r="C1" s="13" t="s">
        <v>24</v>
      </c>
      <c r="D1" s="13" t="s">
        <v>68</v>
      </c>
      <c r="E1" s="13" t="s">
        <v>28</v>
      </c>
      <c r="F1" s="13" t="s">
        <v>69</v>
      </c>
    </row>
    <row r="2" customFormat="false" ht="15" hidden="false" customHeight="false" outlineLevel="0" collapsed="false">
      <c r="A2" s="5" t="s">
        <v>60</v>
      </c>
      <c r="B2" s="5" t="s">
        <v>70</v>
      </c>
      <c r="C2" s="5" t="s">
        <v>62</v>
      </c>
      <c r="D2" s="5" t="s">
        <v>71</v>
      </c>
      <c r="E2" s="14" t="n">
        <v>46237</v>
      </c>
      <c r="F2" s="12" t="n">
        <v>45000</v>
      </c>
    </row>
    <row r="3" customFormat="false" ht="15" hidden="false" customHeight="false" outlineLevel="0" collapsed="false">
      <c r="A3" s="5" t="s">
        <v>60</v>
      </c>
      <c r="B3" s="5" t="s">
        <v>72</v>
      </c>
      <c r="C3" s="5" t="s">
        <v>62</v>
      </c>
      <c r="D3" s="5" t="s">
        <v>73</v>
      </c>
      <c r="E3" s="14" t="n">
        <v>46238</v>
      </c>
      <c r="F3" s="12" t="n">
        <v>30000</v>
      </c>
    </row>
    <row r="4" customFormat="false" ht="15" hidden="false" customHeight="false" outlineLevel="0" collapsed="false">
      <c r="A4" s="5" t="s">
        <v>60</v>
      </c>
      <c r="B4" s="5" t="s">
        <v>74</v>
      </c>
      <c r="C4" s="5" t="s">
        <v>62</v>
      </c>
      <c r="D4" s="5" t="s">
        <v>75</v>
      </c>
      <c r="E4" s="14" t="n">
        <v>46239</v>
      </c>
      <c r="F4" s="12" t="n">
        <v>15000</v>
      </c>
    </row>
    <row r="5" customFormat="false" ht="15" hidden="false" customHeight="false" outlineLevel="0" collapsed="false">
      <c r="A5" s="5" t="s">
        <v>60</v>
      </c>
      <c r="B5" s="5" t="s">
        <v>76</v>
      </c>
      <c r="C5" s="5" t="s">
        <v>62</v>
      </c>
      <c r="D5" s="5" t="s">
        <v>77</v>
      </c>
      <c r="E5" s="14" t="n">
        <v>46242</v>
      </c>
      <c r="F5" s="12" t="n">
        <v>12000</v>
      </c>
    </row>
    <row r="6" customFormat="false" ht="15" hidden="false" customHeight="false" outlineLevel="0" collapsed="false">
      <c r="A6" s="5" t="s">
        <v>63</v>
      </c>
      <c r="B6" s="5" t="s">
        <v>78</v>
      </c>
      <c r="C6" s="5" t="s">
        <v>33</v>
      </c>
      <c r="D6" s="5" t="s">
        <v>79</v>
      </c>
      <c r="E6" s="14" t="n">
        <v>46237</v>
      </c>
      <c r="F6" s="12" t="n">
        <v>18500</v>
      </c>
    </row>
    <row r="7" customFormat="false" ht="15" hidden="false" customHeight="false" outlineLevel="0" collapsed="false">
      <c r="A7" s="5" t="s">
        <v>63</v>
      </c>
      <c r="B7" s="5" t="s">
        <v>80</v>
      </c>
      <c r="C7" s="5" t="s">
        <v>33</v>
      </c>
      <c r="D7" s="5" t="s">
        <v>81</v>
      </c>
      <c r="E7" s="14" t="n">
        <v>46241</v>
      </c>
      <c r="F7" s="12" t="n">
        <v>21000</v>
      </c>
    </row>
    <row r="8" customFormat="false" ht="15" hidden="false" customHeight="false" outlineLevel="0" collapsed="false">
      <c r="A8" s="5" t="s">
        <v>65</v>
      </c>
      <c r="B8" s="5" t="s">
        <v>82</v>
      </c>
      <c r="C8" s="5" t="s">
        <v>67</v>
      </c>
      <c r="D8" s="5" t="s">
        <v>83</v>
      </c>
      <c r="E8" s="14" t="n">
        <v>46238</v>
      </c>
      <c r="F8" s="12" t="n">
        <v>8750</v>
      </c>
    </row>
    <row r="9" customFormat="false" ht="15" hidden="false" customHeight="false" outlineLevel="0" collapsed="false">
      <c r="A9" s="5" t="s">
        <v>65</v>
      </c>
      <c r="B9" s="5" t="s">
        <v>84</v>
      </c>
      <c r="C9" s="5" t="s">
        <v>67</v>
      </c>
      <c r="D9" s="5" t="s">
        <v>85</v>
      </c>
      <c r="E9" s="14" t="n">
        <v>46240</v>
      </c>
      <c r="F9" s="12" t="n">
        <v>11250</v>
      </c>
    </row>
    <row r="10" customFormat="false" ht="15" hidden="false" customHeight="false" outlineLevel="0" collapsed="false">
      <c r="A10" s="5" t="s">
        <v>65</v>
      </c>
      <c r="B10" s="5" t="s">
        <v>86</v>
      </c>
      <c r="C10" s="5" t="s">
        <v>67</v>
      </c>
      <c r="D10" s="5" t="s">
        <v>87</v>
      </c>
      <c r="E10" s="14" t="n">
        <v>46244</v>
      </c>
      <c r="F10" s="12" t="n">
        <v>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4" min="3" style="0" width="14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78"/>
  </cols>
  <sheetData>
    <row r="1" customFormat="false" ht="26.85" hidden="false" customHeight="false" outlineLevel="0" collapsed="false">
      <c r="A1" s="13" t="s">
        <v>22</v>
      </c>
      <c r="B1" s="13" t="s">
        <v>88</v>
      </c>
      <c r="C1" s="13" t="s">
        <v>24</v>
      </c>
      <c r="D1" s="13" t="s">
        <v>68</v>
      </c>
      <c r="E1" s="13" t="s">
        <v>69</v>
      </c>
      <c r="F1" s="13" t="s">
        <v>89</v>
      </c>
      <c r="G1" s="13" t="s">
        <v>90</v>
      </c>
    </row>
    <row r="2" customFormat="false" ht="15" hidden="false" customHeight="false" outlineLevel="0" collapsed="false">
      <c r="A2" s="5" t="s">
        <v>91</v>
      </c>
      <c r="B2" s="14" t="n">
        <v>46246</v>
      </c>
      <c r="C2" s="5" t="s">
        <v>92</v>
      </c>
      <c r="D2" s="5" t="s">
        <v>93</v>
      </c>
      <c r="E2" s="12" t="n">
        <v>25000</v>
      </c>
      <c r="F2" s="15" t="n">
        <f aca="false">Assumptions!$B$5-B2</f>
        <v>8</v>
      </c>
      <c r="G2" s="16" t="s">
        <v>94</v>
      </c>
    </row>
    <row r="3" customFormat="false" ht="15" hidden="false" customHeight="false" outlineLevel="0" collapsed="false">
      <c r="A3" s="5" t="s">
        <v>95</v>
      </c>
      <c r="B3" s="14" t="n">
        <v>46246</v>
      </c>
      <c r="C3" s="5" t="s">
        <v>41</v>
      </c>
      <c r="D3" s="5" t="s">
        <v>96</v>
      </c>
      <c r="E3" s="12" t="n">
        <v>13750</v>
      </c>
      <c r="F3" s="15" t="n">
        <f aca="false">Assumptions!$B$5-B3</f>
        <v>8</v>
      </c>
      <c r="G3" s="16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3" min="3" style="0" width="36"/>
    <col collapsed="false" customWidth="true" hidden="false" outlineLevel="0" max="5" min="4" style="0" width="15"/>
    <col collapsed="false" customWidth="true" hidden="false" outlineLevel="0" max="6" min="6" style="0" width="42"/>
  </cols>
  <sheetData>
    <row r="1" customFormat="false" ht="26.85" hidden="false" customHeight="false" outlineLevel="0" collapsed="false">
      <c r="A1" s="13" t="s">
        <v>23</v>
      </c>
      <c r="B1" s="13" t="s">
        <v>88</v>
      </c>
      <c r="C1" s="13" t="s">
        <v>98</v>
      </c>
      <c r="D1" s="13" t="s">
        <v>99</v>
      </c>
      <c r="E1" s="13" t="s">
        <v>69</v>
      </c>
      <c r="F1" s="13" t="s">
        <v>100</v>
      </c>
    </row>
    <row r="2" customFormat="false" ht="15" hidden="false" customHeight="false" outlineLevel="0" collapsed="false">
      <c r="A2" s="5" t="s">
        <v>101</v>
      </c>
      <c r="B2" s="14" t="n">
        <v>46254</v>
      </c>
      <c r="C2" s="5" t="s">
        <v>102</v>
      </c>
      <c r="D2" s="5" t="s">
        <v>103</v>
      </c>
      <c r="E2" s="12" t="n">
        <v>-450</v>
      </c>
      <c r="F2" s="5" t="s">
        <v>104</v>
      </c>
    </row>
    <row r="3" customFormat="false" ht="15" hidden="false" customHeight="false" outlineLevel="0" collapsed="false">
      <c r="A3" s="5" t="s">
        <v>105</v>
      </c>
      <c r="B3" s="14" t="n">
        <v>46248</v>
      </c>
      <c r="C3" s="5" t="s">
        <v>106</v>
      </c>
      <c r="D3" s="5" t="s">
        <v>107</v>
      </c>
      <c r="E3" s="12" t="n">
        <v>150000</v>
      </c>
      <c r="F3" s="5" t="s">
        <v>108</v>
      </c>
    </row>
    <row r="4" customFormat="false" ht="15" hidden="false" customHeight="false" outlineLevel="0" collapsed="false">
      <c r="A4" s="5" t="s">
        <v>109</v>
      </c>
      <c r="B4" s="14" t="n">
        <v>46253</v>
      </c>
      <c r="C4" s="5" t="s">
        <v>110</v>
      </c>
      <c r="D4" s="5" t="s">
        <v>111</v>
      </c>
      <c r="E4" s="12" t="n">
        <v>-3200</v>
      </c>
      <c r="F4" s="5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5"/>
    <col collapsed="false" customWidth="true" hidden="false" outlineLevel="0" max="4" min="4" style="0" width="22"/>
    <col collapsed="false" customWidth="true" hidden="false" outlineLevel="0" max="5" min="5" style="0" width="80"/>
    <col collapsed="false" customWidth="true" hidden="false" outlineLevel="0" max="6" min="6" style="0" width="62"/>
  </cols>
  <sheetData>
    <row r="1" customFormat="false" ht="26.85" hidden="false" customHeight="false" outlineLevel="0" collapsed="false">
      <c r="A1" s="13" t="s">
        <v>113</v>
      </c>
      <c r="B1" s="13" t="s">
        <v>114</v>
      </c>
      <c r="C1" s="13" t="s">
        <v>23</v>
      </c>
      <c r="D1" s="13" t="s">
        <v>115</v>
      </c>
      <c r="E1" s="13" t="s">
        <v>116</v>
      </c>
      <c r="F1" s="13" t="s">
        <v>117</v>
      </c>
    </row>
    <row r="2" customFormat="false" ht="23.85" hidden="false" customHeight="false" outlineLevel="0" collapsed="false">
      <c r="A2" s="16" t="s">
        <v>118</v>
      </c>
      <c r="B2" s="16" t="s">
        <v>119</v>
      </c>
      <c r="C2" s="16" t="s">
        <v>65</v>
      </c>
      <c r="D2" s="16" t="s">
        <v>91</v>
      </c>
      <c r="E2" s="16" t="s">
        <v>120</v>
      </c>
      <c r="F2" s="16" t="s">
        <v>121</v>
      </c>
    </row>
    <row r="3" customFormat="false" ht="23.85" hidden="false" customHeight="false" outlineLevel="0" collapsed="false">
      <c r="A3" s="16" t="s">
        <v>122</v>
      </c>
      <c r="B3" s="16" t="s">
        <v>123</v>
      </c>
      <c r="C3" s="16" t="s">
        <v>60</v>
      </c>
      <c r="D3" s="16" t="s">
        <v>61</v>
      </c>
      <c r="E3" s="16" t="s">
        <v>124</v>
      </c>
      <c r="F3" s="16" t="s">
        <v>125</v>
      </c>
    </row>
    <row r="4" customFormat="false" ht="23.85" hidden="false" customHeight="false" outlineLevel="0" collapsed="false">
      <c r="A4" s="16" t="s">
        <v>122</v>
      </c>
      <c r="B4" s="16" t="s">
        <v>123</v>
      </c>
      <c r="C4" s="16" t="s">
        <v>63</v>
      </c>
      <c r="D4" s="16" t="s">
        <v>64</v>
      </c>
      <c r="E4" s="16" t="s">
        <v>126</v>
      </c>
      <c r="F4" s="16" t="s">
        <v>125</v>
      </c>
    </row>
    <row r="5" customFormat="false" ht="23.85" hidden="false" customHeight="false" outlineLevel="0" collapsed="false">
      <c r="A5" s="16" t="s">
        <v>122</v>
      </c>
      <c r="B5" s="16" t="s">
        <v>123</v>
      </c>
      <c r="C5" s="16" t="s">
        <v>65</v>
      </c>
      <c r="D5" s="16" t="s">
        <v>66</v>
      </c>
      <c r="E5" s="16" t="s">
        <v>127</v>
      </c>
      <c r="F5" s="16" t="s">
        <v>125</v>
      </c>
    </row>
    <row r="7" customFormat="false" ht="15" hidden="false" customHeight="false" outlineLevel="0" collapsed="false">
      <c r="A7" s="8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4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13" t="s">
        <v>129</v>
      </c>
      <c r="B1" s="13" t="s">
        <v>130</v>
      </c>
      <c r="C1" s="13" t="s">
        <v>131</v>
      </c>
    </row>
    <row r="2" customFormat="false" ht="15" hidden="false" customHeight="false" outlineLevel="0" collapsed="false">
      <c r="A2" s="8" t="s">
        <v>132</v>
      </c>
      <c r="B2" s="17" t="s">
        <v>133</v>
      </c>
      <c r="C2" s="16" t="s">
        <v>134</v>
      </c>
    </row>
    <row r="3" customFormat="false" ht="15" hidden="false" customHeight="false" outlineLevel="0" collapsed="false">
      <c r="A3" s="8" t="s">
        <v>135</v>
      </c>
      <c r="B3" s="17" t="n">
        <v>1</v>
      </c>
      <c r="C3" s="16" t="s">
        <v>136</v>
      </c>
    </row>
    <row r="4" customFormat="false" ht="15" hidden="false" customHeight="false" outlineLevel="0" collapsed="false">
      <c r="A4" s="8" t="s">
        <v>137</v>
      </c>
      <c r="B4" s="17" t="n">
        <v>30</v>
      </c>
      <c r="C4" s="16" t="s">
        <v>138</v>
      </c>
    </row>
    <row r="5" customFormat="false" ht="15" hidden="false" customHeight="false" outlineLevel="0" collapsed="false">
      <c r="A5" s="8" t="s">
        <v>139</v>
      </c>
      <c r="B5" s="18" t="n">
        <v>46254</v>
      </c>
      <c r="C5" s="16" t="s">
        <v>140</v>
      </c>
    </row>
    <row r="6" customFormat="false" ht="15" hidden="false" customHeight="false" outlineLevel="0" collapsed="false">
      <c r="A6" s="8" t="s">
        <v>141</v>
      </c>
      <c r="B6" s="17" t="s">
        <v>142</v>
      </c>
      <c r="C6" s="16" t="s">
        <v>143</v>
      </c>
    </row>
    <row r="7" customFormat="false" ht="15" hidden="false" customHeight="false" outlineLevel="0" collapsed="false">
      <c r="A7" s="8" t="s">
        <v>144</v>
      </c>
      <c r="B7" s="17" t="s">
        <v>145</v>
      </c>
      <c r="C7" s="16" t="s">
        <v>146</v>
      </c>
    </row>
    <row r="8" customFormat="false" ht="15" hidden="false" customHeight="false" outlineLevel="0" collapsed="false">
      <c r="A8" s="8" t="s">
        <v>147</v>
      </c>
      <c r="B8" s="17" t="s">
        <v>148</v>
      </c>
      <c r="C8" s="16" t="s">
        <v>149</v>
      </c>
    </row>
    <row r="9" customFormat="false" ht="15" hidden="false" customHeight="false" outlineLevel="0" collapsed="false">
      <c r="A9" s="8" t="s">
        <v>150</v>
      </c>
      <c r="B9" s="17" t="s">
        <v>151</v>
      </c>
      <c r="C9" s="16" t="s">
        <v>152</v>
      </c>
    </row>
    <row r="10" customFormat="false" ht="15" hidden="false" customHeight="false" outlineLevel="0" collapsed="false">
      <c r="A10" s="8" t="s">
        <v>153</v>
      </c>
      <c r="B10" s="17" t="s">
        <v>154</v>
      </c>
      <c r="C10" s="16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2026-10-18T11:58:44Z</dcterms:created>
  <dc:creator>openpyxl</dc:creator>
  <dc:description/>
  <dc:language>en-US</dc:language>
  <cp:lastModifiedBy/>
  <dcterms:modified xsi:type="dcterms:W3CDTF">2026-10-18T11:58:44Z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